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17 chức năng bắt buộc" sheetId="2" state="visible" r:id="rId2"/>
    <sheet name="11 chức năng tự chọn" sheetId="3" state="visible" r:id="rId3"/>
  </sheets>
  <definedNames>
    <definedName name="_xlnm._FilterDatabase" localSheetId="1" hidden="1">'17 chức năng bắt buộc'!$A$4:$I$21</definedName>
    <definedName name="_xlnm.Print_Titles" localSheetId="1">'17 chức năng bắt buộc'!$1:$4</definedName>
    <definedName name="_xlnm._FilterDatabase" localSheetId="2" hidden="1">'11 chức năng tự chọn'!$A$4:$I$15</definedName>
    <definedName name="_xlnm.Print_Titles" localSheetId="2">'11 chức năng tự chọn'!$1:$4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44546A"/>
    </font>
    <font>
      <b val="1"/>
      <color rgb="00FFFFFF"/>
    </font>
    <font>
      <name val="Aptos"/>
      <color rgb="00203040"/>
      <sz val="10"/>
    </font>
    <font>
      <b val="1"/>
      <color rgb="00008000"/>
    </font>
    <font>
      <b val="1"/>
      <color rgb="001F4E78"/>
    </font>
    <font>
      <name val="Aptos Display"/>
      <b val="1"/>
      <color rgb="00FFFFFF"/>
      <sz val="17"/>
    </font>
    <font>
      <b val="1"/>
      <color rgb="0016324F"/>
      <sz val="13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5F8FB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medium">
        <color rgb="0016324F"/>
      </bottom>
    </border>
    <border>
      <bottom style="thin">
        <color rgb="00D8E1EA"/>
      </bottom>
    </border>
    <border>
      <left/>
      <right/>
      <top/>
      <bottom style="thin">
        <color rgb="00D8E1E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" fontId="8" fillId="6" borderId="0" applyAlignment="1" pivotButton="0" quotePrefix="0" xfId="0">
      <alignment horizontal="center" vertical="center"/>
    </xf>
    <xf numFmtId="9" fontId="8" fillId="6" borderId="0" applyAlignment="1" pivotButton="0" quotePrefix="0" xfId="0">
      <alignment horizontal="center" vertical="center"/>
    </xf>
    <xf numFmtId="0" fontId="3" fillId="3" borderId="0" pivotButton="0" quotePrefix="0" xfId="0"/>
    <xf numFmtId="0" fontId="3" fillId="3" borderId="0" applyAlignment="1" pivotButton="0" quotePrefix="0" xfId="0">
      <alignment horizont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wrapText="1"/>
    </xf>
    <xf numFmtId="9" fontId="0" fillId="0" borderId="2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9" fontId="0" fillId="5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9" fontId="5" fillId="0" borderId="2" applyAlignment="1" pivotButton="0" quotePrefix="0" xfId="0">
      <alignment horizontal="center" vertical="top"/>
    </xf>
    <xf numFmtId="0" fontId="6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9" fontId="5" fillId="5" borderId="2" applyAlignment="1" pivotButton="0" quotePrefix="0" xfId="0">
      <alignment horizontal="center" vertical="top"/>
    </xf>
    <xf numFmtId="0" fontId="0" fillId="0" borderId="3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Số chức năng theo mức hoàn thiện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'Tổng quan'!B9</f>
            </strRef>
          </tx>
          <spPr>
            <a:ln>
              <a:prstDash val="solid"/>
            </a:ln>
          </spPr>
          <cat>
            <numRef>
              <f>'Tổng quan'!$A$10:$A$13</f>
            </numRef>
          </cat>
          <val>
            <numRef>
              <f>'Tổng quan'!$B$10:$B$13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Số lượng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Mức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23</row>
      <rowOff>0</rowOff>
    </from>
    <ext cx="39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5" customWidth="1" min="3" max="3"/>
    <col width="15" customWidth="1" min="4" max="4"/>
    <col width="49" customWidth="1" min="5" max="5"/>
    <col width="70" customWidth="1" min="6" max="6"/>
    <col width="4" customWidth="1" min="7" max="7"/>
    <col width="26" customWidth="1" min="8" max="8"/>
    <col width="20" customWidth="1" min="9" max="9"/>
    <col width="20" customWidth="1" min="10" max="10"/>
  </cols>
  <sheetData>
    <row r="1" ht="36" customHeight="1">
      <c r="A1" s="1" t="inlineStr">
        <is>
          <t>BÁO CÁO ĐÁNH GIÁ 28 CHỨC NĂNG — SKILLSHARE / NHÓM 4</t>
        </is>
      </c>
    </row>
    <row r="2" ht="32" customHeight="1">
      <c r="A2" s="2" t="inlineStr">
        <is>
          <t>Đánh giá tĩnh từ repository; phần trăm là ước lượng. Không kết luận chức năng chạy tốt nếu chưa có kiểm thử tương ứng. Sửa % tại hai sheet chi tiết để cập nhật nhóm và số liệu tổng hợp.</t>
        </is>
      </c>
    </row>
    <row r="4" ht="32" customHeight="1">
      <c r="A4" s="3" t="inlineStr">
        <is>
          <t>Tổng số chức năng</t>
        </is>
      </c>
      <c r="B4" s="4">
        <f>COUNTA('17 chức năng bắt buộc'!A5:A21)+COUNTA('11 chức năng tự chọn'!A5:A15)</f>
        <v/>
      </c>
      <c r="C4" s="3" t="inlineStr">
        <is>
          <t>Bắt buộc</t>
        </is>
      </c>
      <c r="D4" s="4">
        <f>COUNTA('17 chức năng bắt buộc'!A5:A21)</f>
        <v/>
      </c>
      <c r="E4" s="3" t="inlineStr">
        <is>
          <t>Tự chọn</t>
        </is>
      </c>
      <c r="F4" s="4">
        <f>COUNTA('11 chức năng tự chọn'!A5:A15)</f>
        <v/>
      </c>
    </row>
    <row r="5" ht="32" customHeight="1">
      <c r="A5" s="3" t="inlineStr">
        <is>
          <t>TB bắt buộc</t>
        </is>
      </c>
      <c r="B5" s="5">
        <f>AVERAGE('17 chức năng bắt buộc'!D5:D21)</f>
        <v/>
      </c>
      <c r="C5" s="3" t="inlineStr">
        <is>
          <t>TB tự chọn</t>
        </is>
      </c>
      <c r="D5" s="5">
        <f>AVERAGE('11 chức năng tự chọn'!D5:D15)</f>
        <v/>
      </c>
      <c r="E5" s="3" t="inlineStr">
        <is>
          <t>TB toàn bộ</t>
        </is>
      </c>
      <c r="F5" s="5">
        <f>AVERAGE('17 chức năng bắt buộc'!D5:D21,'11 chức năng tự chọn'!D5:D15)</f>
        <v/>
      </c>
    </row>
    <row r="8">
      <c r="A8" s="6" t="inlineStr">
        <is>
          <t>SỐ CHỨC NĂNG THEO MỨC HOÀN THIỆN</t>
        </is>
      </c>
      <c r="D8" s="6" t="inlineStr">
        <is>
          <t>TỔNG HỢP THEO THÀNH VIÊN</t>
        </is>
      </c>
    </row>
    <row r="9">
      <c r="A9" s="6" t="inlineStr">
        <is>
          <t>Nhóm</t>
        </is>
      </c>
      <c r="B9" s="6" t="inlineStr">
        <is>
          <t>Số lượng</t>
        </is>
      </c>
      <c r="D9" s="7" t="inlineStr">
        <is>
          <t>Thành viên</t>
        </is>
      </c>
      <c r="E9" s="7" t="inlineStr">
        <is>
          <t>BB: số</t>
        </is>
      </c>
      <c r="F9" s="7" t="inlineStr">
        <is>
          <t>BB: TB</t>
        </is>
      </c>
      <c r="G9" s="7" t="inlineStr">
        <is>
          <t>TC: số</t>
        </is>
      </c>
      <c r="H9" s="7" t="inlineStr">
        <is>
          <t>TC: TB</t>
        </is>
      </c>
      <c r="I9" s="7" t="inlineStr">
        <is>
          <t>Tổng số</t>
        </is>
      </c>
      <c r="J9" s="7" t="inlineStr">
        <is>
          <t>TB tổng</t>
        </is>
      </c>
    </row>
    <row r="10">
      <c r="A10" s="8" t="inlineStr">
        <is>
          <t>Chưa làm / mới có nền (&lt;40%)</t>
        </is>
      </c>
      <c r="B10" s="8">
        <f>COUNTIF('17 chức năng bắt buộc'!E5:E21,A10)+COUNTIF('11 chức năng tự chọn'!E5:E15,A10)</f>
        <v/>
      </c>
      <c r="D10" s="9" t="inlineStr">
        <is>
          <t>Thương</t>
        </is>
      </c>
      <c r="E10" s="9">
        <f>COUNTIF('17 chức năng bắt buộc'!C5:C21,"*"&amp;D10&amp;"*")</f>
        <v/>
      </c>
      <c r="F10" s="10">
        <f>IFERROR(AVERAGEIF('17 chức năng bắt buộc'!C5:C21,"*"&amp;D10&amp;"*",'17 chức năng bắt buộc'!D5:D21),0)</f>
        <v/>
      </c>
      <c r="G10" s="9">
        <f>COUNTIF('11 chức năng tự chọn'!C5:C15,"*"&amp;D10&amp;"*")</f>
        <v/>
      </c>
      <c r="H10" s="10">
        <f>IFERROR(AVERAGEIF('11 chức năng tự chọn'!C5:C15,"*"&amp;D10&amp;"*",'11 chức năng tự chọn'!D5:D15),0)</f>
        <v/>
      </c>
      <c r="I10" s="9">
        <f>E10+G10</f>
        <v/>
      </c>
      <c r="J10" s="10">
        <f>IFERROR((E10*F10+G10*H10)/I10,0)</f>
        <v/>
      </c>
    </row>
    <row r="11">
      <c r="A11" s="8" t="inlineStr">
        <is>
          <t>Còn thiếu (40-&lt;70%)</t>
        </is>
      </c>
      <c r="B11" s="8">
        <f>COUNTIF('17 chức năng bắt buộc'!E5:E21,A11)+COUNTIF('11 chức năng tự chọn'!E5:E15,A11)</f>
        <v/>
      </c>
      <c r="D11" s="9" t="inlineStr">
        <is>
          <t>Tuấn Anh</t>
        </is>
      </c>
      <c r="E11" s="9">
        <f>COUNTIF('17 chức năng bắt buộc'!C5:C21,"*"&amp;D11&amp;"*")</f>
        <v/>
      </c>
      <c r="F11" s="10">
        <f>IFERROR(AVERAGEIF('17 chức năng bắt buộc'!C5:C21,"*"&amp;D11&amp;"*",'17 chức năng bắt buộc'!D5:D21),0)</f>
        <v/>
      </c>
      <c r="G11" s="9">
        <f>COUNTIF('11 chức năng tự chọn'!C5:C15,"*"&amp;D11&amp;"*")</f>
        <v/>
      </c>
      <c r="H11" s="10">
        <f>IFERROR(AVERAGEIF('11 chức năng tự chọn'!C5:C15,"*"&amp;D11&amp;"*",'11 chức năng tự chọn'!D5:D15),0)</f>
        <v/>
      </c>
      <c r="I11" s="9">
        <f>E11+G11</f>
        <v/>
      </c>
      <c r="J11" s="10">
        <f>IFERROR((E11*F11+G11*H11)/I11,0)</f>
        <v/>
      </c>
    </row>
    <row r="12">
      <c r="A12" s="8" t="inlineStr">
        <is>
          <t>Gần xong (70-&lt;90%)</t>
        </is>
      </c>
      <c r="B12" s="8">
        <f>COUNTIF('17 chức năng bắt buộc'!E5:E21,A12)+COUNTIF('11 chức năng tự chọn'!E5:E15,A12)</f>
        <v/>
      </c>
      <c r="D12" s="9" t="inlineStr">
        <is>
          <t>Đăng</t>
        </is>
      </c>
      <c r="E12" s="9">
        <f>COUNTIF('17 chức năng bắt buộc'!C5:C21,"*"&amp;D12&amp;"*")</f>
        <v/>
      </c>
      <c r="F12" s="10">
        <f>IFERROR(AVERAGEIF('17 chức năng bắt buộc'!C5:C21,"*"&amp;D12&amp;"*",'17 chức năng bắt buộc'!D5:D21),0)</f>
        <v/>
      </c>
      <c r="G12" s="9">
        <f>COUNTIF('11 chức năng tự chọn'!C5:C15,"*"&amp;D12&amp;"*")</f>
        <v/>
      </c>
      <c r="H12" s="10">
        <f>IFERROR(AVERAGEIF('11 chức năng tự chọn'!C5:C15,"*"&amp;D12&amp;"*",'11 chức năng tự chọn'!D5:D15),0)</f>
        <v/>
      </c>
      <c r="I12" s="9">
        <f>E12+G12</f>
        <v/>
      </c>
      <c r="J12" s="10">
        <f>IFERROR((E12*F12+G12*H12)/I12,0)</f>
        <v/>
      </c>
    </row>
    <row r="13">
      <c r="A13" s="8" t="inlineStr">
        <is>
          <t>Hoàn thiện (90-100%)</t>
        </is>
      </c>
      <c r="B13" s="8">
        <f>COUNTIF('17 chức năng bắt buộc'!E5:E21,A13)+COUNTIF('11 chức năng tự chọn'!E5:E15,A13)</f>
        <v/>
      </c>
      <c r="D13" s="9" t="inlineStr">
        <is>
          <t>Nhật Anh</t>
        </is>
      </c>
      <c r="E13" s="9">
        <f>COUNTIF('17 chức năng bắt buộc'!C5:C21,"*"&amp;D13&amp;"*")</f>
        <v/>
      </c>
      <c r="F13" s="10">
        <f>IFERROR(AVERAGEIF('17 chức năng bắt buộc'!C5:C21,"*"&amp;D13&amp;"*",'17 chức năng bắt buộc'!D5:D21),0)</f>
        <v/>
      </c>
      <c r="G13" s="9">
        <f>COUNTIF('11 chức năng tự chọn'!C5:C15,"*"&amp;D13&amp;"*")</f>
        <v/>
      </c>
      <c r="H13" s="10">
        <f>IFERROR(AVERAGEIF('11 chức năng tự chọn'!C5:C15,"*"&amp;D13&amp;"*",'11 chức năng tự chọn'!D5:D15),0)</f>
        <v/>
      </c>
      <c r="I13" s="9">
        <f>E13+G13</f>
        <v/>
      </c>
      <c r="J13" s="10">
        <f>IFERROR((E13*F13+G13*H13)/I13,0)</f>
        <v/>
      </c>
    </row>
    <row r="16">
      <c r="A16" s="6" t="inlineStr">
        <is>
          <t>ƯU TIÊN TIẾP THEO — DỰA TRÊN KHOẢNG TRỐNG TRONG CODE</t>
        </is>
      </c>
      <c r="H16" s="6" t="inlineStr">
        <is>
          <t>PHƯƠNG PHÁP / GIỚI HẠN</t>
        </is>
      </c>
    </row>
    <row r="17" ht="42" customHeight="1">
      <c r="A17" s="11" t="inlineStr">
        <is>
          <t>Ưu tiên</t>
        </is>
      </c>
      <c r="B17" s="11" t="inlineStr">
        <is>
          <t>Chức năng</t>
        </is>
      </c>
      <c r="C17" s="11" t="inlineStr">
        <is>
          <t>% hiện tại</t>
        </is>
      </c>
      <c r="D17" s="11" t="inlineStr">
        <is>
          <t>DB</t>
        </is>
      </c>
      <c r="E17" s="11" t="inlineStr">
        <is>
          <t>Lý do ưu tiên</t>
        </is>
      </c>
      <c r="F17" s="11" t="inlineStr">
        <is>
          <t>Bằng chứng / thiếu hụt</t>
        </is>
      </c>
      <c r="H17" s="12" t="inlineStr">
        <is>
          <t>Đánh giá từ controller → service → repository/entity/schema → template; không thay thế xác nhận yêu cầu nghiệp vụ.</t>
        </is>
      </c>
      <c r="I17" s="23" t="n"/>
      <c r="J17" s="23" t="n"/>
    </row>
    <row r="18" ht="58" customHeight="1">
      <c r="A18" s="13" t="n">
        <v>1</v>
      </c>
      <c r="B18" s="13" t="inlineStr">
        <is>
          <t>Hoàn tiền</t>
        </is>
      </c>
      <c r="C18" s="14">
        <f>'11 chức năng tự chọn'!D15</f>
        <v/>
      </c>
      <c r="D18" s="13">
        <f>'11 chức năng tự chọn'!F15</f>
        <v/>
      </c>
      <c r="E18" s="13" t="inlineStr">
        <is>
          <t>Không nhầm hoàn escrow khi hủy với luồng Refund thật.</t>
        </is>
      </c>
      <c r="F18" s="13" t="inlineStr">
        <is>
          <t>Refund entity/repository có nhưng không có production service/controller; action Provider chỉ resolve complaint.</t>
        </is>
      </c>
      <c r="H18" s="12" t="inlineStr">
        <is>
          <t>DB 'Đầy đủ' chỉ nói luồng dữ liệu chính có nối DB, không khẳng định production-ready.</t>
        </is>
      </c>
      <c r="I18" s="23" t="n"/>
      <c r="J18" s="23" t="n"/>
    </row>
    <row r="19" ht="58" customHeight="1">
      <c r="A19" s="12" t="n">
        <v>2</v>
      </c>
      <c r="B19" s="12" t="inlineStr">
        <is>
          <t>Thanh toán trực tuyến</t>
        </is>
      </c>
      <c r="C19" s="15">
        <f>'17 chức năng bắt buộc'!D12</f>
        <v/>
      </c>
      <c r="D19" s="12">
        <f>'17 chức năng bắt buộc'!F12</f>
        <v/>
      </c>
      <c r="E19" s="12" t="inlineStr">
        <is>
          <t>Payment order chưa hoàn chỉnh dù VNPay top-up có triển khai.</t>
        </is>
      </c>
      <c r="F19" s="12" t="inlineStr">
        <is>
          <t>OrderService.pay/endpoint thanh toán trực tiếp bị vô hiệu hóa; VNPay chỉ nạp ví.</t>
        </is>
      </c>
      <c r="H19" s="12" t="inlineStr">
        <is>
          <t>Bộ test hiện có 11 tests/4 classes: context, commission, marketplace/cart, workspace smoke; không bao phủ 28 chức năng.</t>
        </is>
      </c>
      <c r="I19" s="23" t="n"/>
      <c r="J19" s="23" t="n"/>
    </row>
    <row r="20" ht="58" customHeight="1">
      <c r="A20" s="13" t="n">
        <v>3</v>
      </c>
      <c r="B20" s="13" t="inlineStr">
        <is>
          <t>Admin quản lý người dùng</t>
        </is>
      </c>
      <c r="C20" s="14">
        <f>'17 chức năng bắt buộc'!D16</f>
        <v/>
      </c>
      <c r="D20" s="13">
        <f>'17 chức năng bắt buộc'!F16</f>
        <v/>
      </c>
      <c r="E20" s="13" t="inlineStr">
        <is>
          <t>Khóa user không cập nhật DB và không chặn login.</t>
        </is>
      </c>
      <c r="F20" s="13" t="inlineStr">
        <is>
          <t>WorkspaceState RAM; SecurityConfig dùng AccountStatus từ users.</t>
        </is>
      </c>
      <c r="H20" s="12" t="inlineStr">
        <is>
          <t>Lần chạy Maven toàn bộ gần nhất: 11 passed, 0 failures/errors. Đây không phải bằng chứng mọi luồng đều hoạt động.</t>
        </is>
      </c>
      <c r="I20" s="23" t="n"/>
      <c r="J20" s="23" t="n"/>
    </row>
    <row r="21" ht="58" customHeight="1">
      <c r="A21" s="12" t="n">
        <v>4</v>
      </c>
      <c r="B21" s="12" t="inlineStr">
        <is>
          <t>Admin quản lý dịch vụ / provider</t>
        </is>
      </c>
      <c r="C21" s="15">
        <f>'17 chức năng bắt buộc'!D17</f>
        <v/>
      </c>
      <c r="D21" s="12">
        <f>'17 chức năng bắt buộc'!F17</f>
        <v/>
      </c>
      <c r="E21" s="12" t="inlineStr">
        <is>
          <t>Duyệt/chặn không bền vững; danh sách dịch vụ một phần hard-code.</t>
        </is>
      </c>
      <c r="F21" s="12" t="inlineStr">
        <is>
          <t>WorkspaceState lưu thao tác; WorkspaceController.serviceRows tạo tên mẫu.</t>
        </is>
      </c>
      <c r="H21" s="12" t="inlineStr">
        <is>
          <t>Google login được đưa vào đánh giá; code cho thấy OAuth chưa tích hợp và nút bị disable.</t>
        </is>
      </c>
      <c r="I21" s="23" t="n"/>
      <c r="J21" s="23" t="n"/>
    </row>
    <row r="22" ht="58" customHeight="1">
      <c r="A22" s="13" t="n">
        <v>5</v>
      </c>
      <c r="B22" s="13" t="inlineStr">
        <is>
          <t>Admin quản lý đơn hàng</t>
        </is>
      </c>
      <c r="C22" s="14">
        <f>'17 chức năng bắt buộc'!D18</f>
        <v/>
      </c>
      <c r="D22" s="13">
        <f>'17 chức năng bắt buộc'!F18</f>
        <v/>
      </c>
      <c r="E22" s="13" t="inlineStr">
        <is>
          <t>Nút can thiệp không thực hiện state change.</t>
        </is>
      </c>
      <c r="F22" s="13" t="inlineStr">
        <is>
          <t>WorkspaceController.interveneOrder chỉ ghi flash message và redirect.</t>
        </is>
      </c>
    </row>
    <row r="23" ht="58" customHeight="1">
      <c r="A23" s="12" t="n">
        <v>6</v>
      </c>
      <c r="B23" s="12" t="inlineStr">
        <is>
          <t>Giỏ hàng → checkout</t>
        </is>
      </c>
      <c r="C23" s="15">
        <f>'17 chức năng bắt buộc'!D10</f>
        <v/>
      </c>
      <c r="D23" s="12">
        <f>'17 chức năng bắt buộc'!F10</f>
        <v/>
      </c>
      <c r="E23" s="12" t="inlineStr">
        <is>
          <t>Giỏ đã CRUD DB nhưng chưa chuyển thành đơn nhiều dịch vụ.</t>
        </is>
      </c>
      <c r="F23" s="12" t="inlineStr">
        <is>
          <t>CartController add/update/remove; chưa thấy checkout tạo RentalOrder/RentalOrderItem.</t>
        </is>
      </c>
    </row>
  </sheetData>
  <mergeCells count="11">
    <mergeCell ref="A16:F16"/>
    <mergeCell ref="A1:J1"/>
    <mergeCell ref="H16:J16"/>
    <mergeCell ref="H18:J18"/>
    <mergeCell ref="H19:J19"/>
    <mergeCell ref="D8:J8"/>
    <mergeCell ref="A2:J2"/>
    <mergeCell ref="H17:J17"/>
    <mergeCell ref="A8:B8"/>
    <mergeCell ref="H21:J21"/>
    <mergeCell ref="H20:J20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5" customWidth="1" min="3" max="3"/>
    <col width="15" customWidth="1" min="4" max="4"/>
    <col width="32" customWidth="1" min="5" max="5"/>
    <col width="18" customWidth="1" min="6" max="6"/>
    <col width="75" customWidth="1" min="7" max="7"/>
    <col width="73" customWidth="1" min="8" max="8"/>
    <col width="54" customWidth="1" min="9" max="9"/>
  </cols>
  <sheetData>
    <row r="1" ht="32" customHeight="1">
      <c r="A1" s="16" t="inlineStr">
        <is>
          <t>17 CHỨC NĂNG BẮT BUỘC — ĐÁNH GIÁ THEO CODE</t>
        </is>
      </c>
    </row>
    <row r="2" ht="30" customHeight="1">
      <c r="A2" s="2" t="inlineStr">
        <is>
          <t>Ước lượng từ code, không phải phép đo chính thức. % chữ xanh có thể chỉnh; Nhóm tự tính. DB đánh giá luồng nghiệp vụ thực tế. Đọc nhận xét/bằng chứng trước khi diễn giải tỷ lệ.</t>
        </is>
      </c>
    </row>
    <row r="4" ht="34" customHeight="1">
      <c r="A4" s="17" t="inlineStr">
        <is>
          <t>STT</t>
        </is>
      </c>
      <c r="B4" s="17" t="inlineStr">
        <is>
          <t>Chức năng</t>
        </is>
      </c>
      <c r="C4" s="17" t="inlineStr">
        <is>
          <t>Phụ trách</t>
        </is>
      </c>
      <c r="D4" s="17" t="inlineStr">
        <is>
          <t>% hoàn thiện</t>
        </is>
      </c>
      <c r="E4" s="17" t="inlineStr">
        <is>
          <t>Nhóm</t>
        </is>
      </c>
      <c r="F4" s="17" t="inlineStr">
        <is>
          <t>Logic dữ liệu (DB)</t>
        </is>
      </c>
      <c r="G4" s="17" t="inlineStr">
        <is>
          <t>Nhận xét theo code</t>
        </is>
      </c>
      <c r="H4" s="17" t="inlineStr">
        <is>
          <t>Bằng chứng trong mã nguồn</t>
        </is>
      </c>
      <c r="I4" s="17" t="inlineStr">
        <is>
          <t>Trạng thái kiểm thử</t>
        </is>
      </c>
    </row>
    <row r="5" ht="94" customHeight="1">
      <c r="A5" s="18" t="n">
        <v>1</v>
      </c>
      <c r="B5" s="18" t="inlineStr">
        <is>
          <t>Đăng ký + email xác nhận</t>
        </is>
      </c>
      <c r="C5" s="18" t="inlineStr">
        <is>
          <t>Thương</t>
        </is>
      </c>
      <c r="D5" s="19" t="n">
        <v>0.8</v>
      </c>
      <c r="E5" s="20">
        <f>IF(D5&lt;40%,"Chưa làm / mới có nền (&lt;40%)",IF(D5&lt;70%,"Còn thiếu (40-&lt;70%)",IF(D5&lt;90%,"Gần xong (70-&lt;90%)","Hoàn thiện (90-100%)")))</f>
        <v/>
      </c>
      <c r="F5" s="18" t="inlineStr">
        <is>
          <t>Một phần</t>
        </is>
      </c>
      <c r="G5" s="18" t="inlineStr">
        <is>
          <t>Đã triển khai: lưu users/customer_profiles, BCrypt, token xác nhận có hạn 24 giờ và gửi qua JavaMail; thiếu SMTP thì UI cung cấp link demo. Lỗi gửi thư bị nuốt, chưa có test SMTP. Điều chỉnh 50%→80%: luồng token/email có trong code, còn độ tin cậy gửi thư và xử lý lỗi.</t>
        </is>
      </c>
      <c r="H5" s="18" t="inlineStr">
        <is>
          <t>AuthController#register; AuthService#register/#verifyEmail/#sendMail; User; CustomerProfile; auth/register.html; SecurityConfig#userDetailsService</t>
        </is>
      </c>
      <c r="I5" s="18" t="inlineStr">
        <is>
          <t>Chưa có test riêng; SkillRentalApplicationTests chỉ load context.</t>
        </is>
      </c>
    </row>
    <row r="6" ht="94" customHeight="1">
      <c r="A6" s="21" t="n">
        <v>2</v>
      </c>
      <c r="B6" s="21" t="inlineStr">
        <is>
          <t>Đăng nhập</t>
        </is>
      </c>
      <c r="C6" s="21" t="inlineStr">
        <is>
          <t>Thương</t>
        </is>
      </c>
      <c r="D6" s="22" t="n">
        <v>0.9</v>
      </c>
      <c r="E6" s="20">
        <f>IF(D6&lt;40%,"Chưa làm / mới có nền (&lt;40%)",IF(D6&lt;70%,"Còn thiếu (40-&lt;70%)",IF(D6&lt;90%,"Gần xong (70-&lt;90%)","Hoàn thiện (90-100%)")))</f>
        <v/>
      </c>
      <c r="F6" s="21" t="inlineStr">
        <is>
          <t>Đầy đủ</t>
        </is>
      </c>
      <c r="G6" s="21" t="inlineStr">
        <is>
          <t>Đã triển khai: Spring Security form login, BCrypt, remember-me và phân quyền /admin, /provider. UserDetailsService từ chối email chưa xác minh hoặc accountStatus khác ACTIVE; nhận xét đầu vào rằng chưa chặn tài khoản khóa không còn đúng. Chưa có test login/phân quyền.</t>
        </is>
      </c>
      <c r="H6" s="21" t="inlineStr">
        <is>
          <t>SecurityConfig#userDetailsService/#filter; UserRepository; auth/login.html</t>
        </is>
      </c>
      <c r="I6" s="21" t="inlineStr">
        <is>
          <t>Chưa có test đăng nhập hoặc phân quyền chuyên biệt.</t>
        </is>
      </c>
    </row>
    <row r="7" ht="94" customHeight="1">
      <c r="A7" s="18" t="n">
        <v>3</v>
      </c>
      <c r="B7" s="18" t="inlineStr">
        <is>
          <t>Đăng xuất</t>
        </is>
      </c>
      <c r="C7" s="18" t="inlineStr">
        <is>
          <t>Thương</t>
        </is>
      </c>
      <c r="D7" s="19" t="n">
        <v>1</v>
      </c>
      <c r="E7" s="20">
        <f>IF(D7&lt;40%,"Chưa làm / mới có nền (&lt;40%)",IF(D7&lt;70%,"Còn thiếu (40-&lt;70%)",IF(D7&lt;90%,"Gần xong (70-&lt;90%)","Hoàn thiện (90-100%)")))</f>
        <v/>
      </c>
      <c r="F7" s="18" t="inlineStr">
        <is>
          <t>Đầy đủ</t>
        </is>
      </c>
      <c r="G7" s="18" t="inlineStr">
        <is>
          <t>Đã triển khai: SecurityFilterChain bật /logout và chuyển về login. Chưa có test xác nhận session/security context kết thúc.</t>
        </is>
      </c>
      <c r="H7" s="18" t="inlineStr">
        <is>
          <t>SecurityConfig#filter; templates/fragments.html</t>
        </is>
      </c>
      <c r="I7" s="18" t="inlineStr">
        <is>
          <t>Chưa có test logout chuyên biệt.</t>
        </is>
      </c>
    </row>
    <row r="8" ht="94" customHeight="1">
      <c r="A8" s="21" t="n">
        <v>4</v>
      </c>
      <c r="B8" s="21" t="inlineStr">
        <is>
          <t>Lấy lại mật khẩu</t>
        </is>
      </c>
      <c r="C8" s="21" t="inlineStr">
        <is>
          <t>Thương</t>
        </is>
      </c>
      <c r="D8" s="22" t="n">
        <v>0.8</v>
      </c>
      <c r="E8" s="20">
        <f>IF(D8&lt;40%,"Chưa làm / mới có nền (&lt;40%)",IF(D8&lt;70%,"Còn thiếu (40-&lt;70%)",IF(D8&lt;90%,"Gần xong (70-&lt;90%)","Hoàn thiện (90-100%)")))</f>
        <v/>
      </c>
      <c r="F8" s="21" t="inlineStr">
        <is>
          <t>Một phần</t>
        </is>
      </c>
      <c r="G8" s="21" t="inlineStr">
        <is>
          <t>Đã triển khai: reset token lưu DB, hạn 30 phút, BCrypt, token bị xóa sau reset; có link demo khi thiếu SMTP. Gửi mail lỗi không được phản ánh rõ; chưa test token hết hạn/dùng một lần/SMTP. Điều chỉnh 60%→80%: token expiration và email đã có trong code.</t>
        </is>
      </c>
      <c r="H8" s="21" t="inlineStr">
        <is>
          <t>AuthController#forgotSubmit/#reset; AuthService#createResetToken/#reset/#sendMail; User.resetToken/resetTokenExpiresAt; auth/forgot-password.html</t>
        </is>
      </c>
      <c r="I8" s="21" t="inlineStr">
        <is>
          <t>Chưa có test riêng cho reset token/mail.</t>
        </is>
      </c>
    </row>
    <row r="9" ht="94" customHeight="1">
      <c r="A9" s="18" t="n">
        <v>5</v>
      </c>
      <c r="B9" s="18" t="inlineStr">
        <is>
          <t>Xem chi tiết dịch vụ / provider</t>
        </is>
      </c>
      <c r="C9" s="18" t="inlineStr">
        <is>
          <t>Tuấn Anh</t>
        </is>
      </c>
      <c r="D9" s="19" t="n">
        <v>0.85</v>
      </c>
      <c r="E9" s="20">
        <f>IF(D9&lt;40%,"Chưa làm / mới có nền (&lt;40%)",IF(D9&lt;70%,"Còn thiếu (40-&lt;70%)",IF(D9&lt;90%,"Gần xong (70-&lt;90%)","Hoàn thiện (90-100%)")))</f>
        <v/>
      </c>
      <c r="F9" s="18" t="inlineStr">
        <is>
          <t>Đầy đủ</t>
        </is>
      </c>
      <c r="G9" s="18" t="inlineStr">
        <is>
          <t>Đã triển khai một phần lớn: profile/reviews từ DB, tính phân bố sao từ review. portfolioNames hard-code; trang chi tiết là provider, chưa phải ServiceCatalog. Điều chỉnh 90%→85% do portfolio/service-detail chưa nối DB.</t>
        </is>
      </c>
      <c r="H9" s="18" t="inlineStr">
        <is>
          <t>MarketplaceController#detail; MarketplaceService#get; ReviewRepository#findByProviderOrderByIdDesc; marketplace/provider-detail.html</t>
        </is>
      </c>
      <c r="I9" s="18" t="inlineStr">
        <is>
          <t>Chưa có test trang chi tiết hoặc phân bố review.</t>
        </is>
      </c>
    </row>
    <row r="10" ht="94" customHeight="1">
      <c r="A10" s="21" t="n">
        <v>6</v>
      </c>
      <c r="B10" s="21" t="inlineStr">
        <is>
          <t>Quản lý giỏ / danh sách dịch vụ đã chọn</t>
        </is>
      </c>
      <c r="C10" s="21" t="inlineStr">
        <is>
          <t>Đăng</t>
        </is>
      </c>
      <c r="D10" s="22" t="n">
        <v>0.75</v>
      </c>
      <c r="E10" s="20">
        <f>IF(D10&lt;40%,"Chưa làm / mới có nền (&lt;40%)",IF(D10&lt;70%,"Còn thiếu (40-&lt;70%)",IF(D10&lt;90%,"Gần xong (70-&lt;90%)","Hoàn thiện (90-100%)")))</f>
        <v/>
      </c>
      <c r="F10" s="21" t="inlineStr">
        <is>
          <t>Một phần</t>
        </is>
      </c>
      <c r="G10" s="21" t="inlineStr">
        <is>
          <t>Đã triển khai: trang services/cart, thêm/sửa/xóa qua controller; Cart/CartItem lưu DB, snapshot giá, kiểm tra published và quyền sở hữu item. Chưa có checkout tạo rental_order/order_items. Điều chỉnh 10%→75%: CRUD giỏ cơ bản có thật, thiếu checkout.</t>
        </is>
      </c>
      <c r="H10" s="21" t="inlineStr">
        <is>
          <t>CartController#services/#cart/#add/#quantity/#remove; Cart; CartItem; CartRepository; CartItemRepository; marketplace/services.html; customer/cart.html</t>
        </is>
      </c>
      <c r="I10" s="21" t="inlineStr">
        <is>
          <t>MarketplaceCartSmokeTest kiểm tra trang, thêm/xóa và quantity qua repository; đạt ở lần chạy Maven gần nhất.</t>
        </is>
      </c>
    </row>
    <row r="11" ht="94" customHeight="1">
      <c r="A11" s="18" t="n">
        <v>7</v>
      </c>
      <c r="B11" s="18" t="inlineStr">
        <is>
          <t>Đặt dịch vụ</t>
        </is>
      </c>
      <c r="C11" s="18" t="inlineStr">
        <is>
          <t>Đăng</t>
        </is>
      </c>
      <c r="D11" s="19" t="n">
        <v>0.8</v>
      </c>
      <c r="E11" s="20">
        <f>IF(D11&lt;40%,"Chưa làm / mới có nền (&lt;40%)",IF(D11&lt;70%,"Còn thiếu (40-&lt;70%)",IF(D11&lt;90%,"Gần xong (70-&lt;90%)","Hoàn thiện (90-100%)")))</f>
        <v/>
      </c>
      <c r="F11" s="18" t="inlineStr">
        <is>
          <t>Một phần</t>
        </is>
      </c>
      <c r="G11" s="18" t="inlineStr">
        <is>
          <t>Đã triển khai: BookingService transactionally tạo Booking + RentalOrder và giữ tiền qua EscrowService; validate ngày/slot, premium +25%. Booking.service_id không được gán; chưa thấy kiểm tra lịch trùng/availability. Điều chỉnh 90%→80% do ràng buộc lịch/service còn thiếu.</t>
        </is>
      </c>
      <c r="H11" s="18" t="inlineStr">
        <is>
          <t>BookingController#form/#submit; BookingService#create; Booking; RentalOrder; EscrowService#reserveForBooking; booking/booking.html</t>
        </is>
      </c>
      <c r="I11" s="18" t="inlineStr">
        <is>
          <t>Workspace smoke test kiểm tra nhánh provider decline/refund escrow; chưa test tạo booking end-to-end.</t>
        </is>
      </c>
    </row>
    <row r="12" ht="94" customHeight="1">
      <c r="A12" s="21" t="n">
        <v>8</v>
      </c>
      <c r="B12" s="21" t="inlineStr">
        <is>
          <t>Thanh toán trực tuyến</t>
        </is>
      </c>
      <c r="C12" s="21" t="inlineStr">
        <is>
          <t>Nhật Anh</t>
        </is>
      </c>
      <c r="D12" s="22" t="n">
        <v>0.45</v>
      </c>
      <c r="E12" s="20">
        <f>IF(D12&lt;40%,"Chưa làm / mới có nền (&lt;40%)",IF(D12&lt;70%,"Còn thiếu (40-&lt;70%)",IF(D12&lt;90%,"Gần xong (70-&lt;90%)","Hoàn thiện (90-100%)")))</f>
        <v/>
      </c>
      <c r="F12" s="21" t="inlineStr">
        <is>
          <t>Một phần</t>
        </is>
      </c>
      <c r="G12" s="21" t="inlineStr">
        <is>
          <t>Đã triển khai một phần: VNPay Sandbox top-up lưu record, ký HMAC-SHA512, xác thực callback/signature/amount, cộng ví và ghi transaction. Thanh toán trực tiếp cho rental order bị vô hiệu hóa. Không tính top-up là thanh toán đơn. Điều chỉnh 60%→45%.</t>
        </is>
      </c>
      <c r="H12" s="21" t="inlineStr">
        <is>
          <t>OrderController#topUpViaVnPay/#walletVnPayReturn; VnPayWalletTopUpService#createPayment/#processReturn; WalletTopUp; customer/wallet.html; SETUP_VNPAY_GMAIL_OTP.md</t>
        </is>
      </c>
      <c r="I12" s="21" t="inlineStr">
        <is>
          <t>Chưa có test VNPay callback/chữ ký/idempotency.</t>
        </is>
      </c>
    </row>
    <row r="13" ht="94" customHeight="1">
      <c r="A13" s="18" t="n">
        <v>9</v>
      </c>
      <c r="B13" s="18" t="inlineStr">
        <is>
          <t>Lịch sử đặt dịch vụ</t>
        </is>
      </c>
      <c r="C13" s="18" t="inlineStr">
        <is>
          <t>Nhật Anh</t>
        </is>
      </c>
      <c r="D13" s="19" t="n">
        <v>0.85</v>
      </c>
      <c r="E13" s="20">
        <f>IF(D13&lt;40%,"Chưa làm / mới có nền (&lt;40%)",IF(D13&lt;70%,"Còn thiếu (40-&lt;70%)",IF(D13&lt;90%,"Gần xong (70-&lt;90%)","Hoàn thiện (90-100%)")))</f>
        <v/>
      </c>
      <c r="F13" s="18" t="inlineStr">
        <is>
          <t>Đầy đủ</t>
        </is>
      </c>
      <c r="G13" s="18" t="inlineStr">
        <is>
          <t>Đã triển khai: /orders đọc DB theo customer; detail/progress kiểm tra quyền sở hữu. Chưa thấy test history/ownership hoặc lọc. Điều chỉnh 90%→85% vì phạm vi/test còn hạn chế.</t>
        </is>
      </c>
      <c r="H13" s="18" t="inlineStr">
        <is>
          <t>OrderController#list/#details/#progress; OrderService#list/#owned; RentalOrderRepository; orders/orders.html; orders/progress.html</t>
        </is>
      </c>
      <c r="I13" s="18" t="inlineStr">
        <is>
          <t>Chưa có test history/ownership chuyên biệt.</t>
        </is>
      </c>
    </row>
    <row r="14" ht="94" customHeight="1">
      <c r="A14" s="21" t="n">
        <v>10</v>
      </c>
      <c r="B14" s="21" t="inlineStr">
        <is>
          <t>Biểu đồ cột theo khoảng thời gian</t>
        </is>
      </c>
      <c r="C14" s="21" t="inlineStr">
        <is>
          <t>Nhật Anh</t>
        </is>
      </c>
      <c r="D14" s="22" t="n">
        <v>0.8</v>
      </c>
      <c r="E14" s="20">
        <f>IF(D14&lt;40%,"Chưa làm / mới có nền (&lt;40%)",IF(D14&lt;70%,"Còn thiếu (40-&lt;70%)",IF(D14&lt;90%,"Gần xong (70-&lt;90%)","Hoàn thiện (90-100%)")))</f>
        <v/>
      </c>
      <c r="F14" s="21" t="inlineStr">
        <is>
          <t>Một phần</t>
        </is>
      </c>
      <c r="G14" s="21" t="inlineStr">
        <is>
          <t>Đã triển khai: admin tính order/revenue theo ngày và bucket; finance có inflow/outflow/commission series. Tính đúng chart chưa được test; retention/matchTime hard-code 0. Điều chỉnh 10%→80% vì backend time-series và giao diện chart tồn tại.</t>
        </is>
      </c>
      <c r="H14" s="21" t="inlineStr">
        <is>
          <t>WorkspaceController#fillAdminStatistics/#fillAdminFinance; workspace/admin/page.html; WorkspaceControllerSmokeTest#allAdminGetRoutesRenderWithoutServerError</t>
        </is>
      </c>
      <c r="I14" s="21" t="inlineStr">
        <is>
          <t>Smoke xác nhận route/model; chưa kiểm tra giá trị/bucket.</t>
        </is>
      </c>
    </row>
    <row r="15" ht="94" customHeight="1">
      <c r="A15" s="18" t="n">
        <v>11</v>
      </c>
      <c r="B15" s="18" t="inlineStr">
        <is>
          <t>Biểu đồ tròn</t>
        </is>
      </c>
      <c r="C15" s="18" t="inlineStr">
        <is>
          <t>Nhật Anh</t>
        </is>
      </c>
      <c r="D15" s="19" t="n">
        <v>0.8</v>
      </c>
      <c r="E15" s="20">
        <f>IF(D15&lt;40%,"Chưa làm / mới có nền (&lt;40%)",IF(D15&lt;70%,"Còn thiếu (40-&lt;70%)",IF(D15&lt;90%,"Gần xong (70-&lt;90%)","Hoàn thiện (90-100%)")))</f>
        <v/>
      </c>
      <c r="F15" s="18" t="inlineStr">
        <is>
          <t>Một phần</t>
        </is>
      </c>
      <c r="G15" s="18" t="inlineStr">
        <is>
          <t>Đã triển khai: gom OrderStatus theo kỳ, tính slices/tỷ lệ và CSS conic-gradient. Chưa test số liệu trên fixture; scope là biểu đồ trạng thái đơn. Điều chỉnh 10%→80%.</t>
        </is>
      </c>
      <c r="H15" s="18" t="inlineStr">
        <is>
          <t>WorkspaceController#fillAdminStatistics/#statusLabel; workspace/admin/page.html (statusPieGradient); WorkspaceControllerSmokeTest</t>
        </is>
      </c>
      <c r="I15" s="18" t="inlineStr">
        <is>
          <t>Smoke route/model; chưa test số lượng/tỷ lệ slices.</t>
        </is>
      </c>
    </row>
    <row r="16" ht="94" customHeight="1">
      <c r="A16" s="21" t="n">
        <v>12</v>
      </c>
      <c r="B16" s="21" t="inlineStr">
        <is>
          <t>Admin quản lý người dùng</t>
        </is>
      </c>
      <c r="C16" s="21" t="inlineStr">
        <is>
          <t>Thương</t>
        </is>
      </c>
      <c r="D16" s="22" t="n">
        <v>0.35</v>
      </c>
      <c r="E16" s="20">
        <f>IF(D16&lt;40%,"Chưa làm / mới có nền (&lt;40%)",IF(D16&lt;70%,"Còn thiếu (40-&lt;70%)",IF(D16&lt;90%,"Gần xong (70-&lt;90%)","Hoàn thiện (90-100%)")))</f>
        <v/>
      </c>
      <c r="F16" s="21" t="inlineStr">
        <is>
          <t>Giả lập</t>
        </is>
      </c>
      <c r="G16" s="21" t="inlineStr">
        <is>
          <t>Đã có một phần: list/export user lấy DB; lock/unlock chỉ lưu WorkspaceState RAM, không cập nhật User.accountStatus nên không chặn login qua SecurityConfig. Điều chỉnh 30%→35% vì có trang/dữ liệu, thao tác khóa chưa bền vững.</t>
        </is>
      </c>
      <c r="H16" s="21" t="inlineStr">
        <is>
          <t>WorkspaceController#adminPage/#lockUser/#unlockUser/#adminUsers/#exportUsers; WorkspaceState; SecurityConfig#userDetailsService; workspace/admin/page.html</t>
        </is>
      </c>
      <c r="I16" s="21" t="inlineStr">
        <is>
          <t>Admin GET smoke; chưa test lock ngăn login hoặc persistence sau restart.</t>
        </is>
      </c>
    </row>
    <row r="17" ht="94" customHeight="1">
      <c r="A17" s="18" t="n">
        <v>13</v>
      </c>
      <c r="B17" s="18" t="inlineStr">
        <is>
          <t>Admin quản lý dịch vụ / provider</t>
        </is>
      </c>
      <c r="C17" s="18" t="inlineStr">
        <is>
          <t>Tuấn Anh</t>
        </is>
      </c>
      <c r="D17" s="19" t="n">
        <v>0.35</v>
      </c>
      <c r="E17" s="20">
        <f>IF(D17&lt;40%,"Chưa làm / mới có nền (&lt;40%)",IF(D17&lt;70%,"Còn thiếu (40-&lt;70%)",IF(D17&lt;90%,"Gần xong (70-&lt;90%)","Hoàn thiện (90-100%)")))</f>
        <v/>
      </c>
      <c r="F17" s="18" t="inlineStr">
        <is>
          <t>Giả lập</t>
        </is>
      </c>
      <c r="G17" s="18" t="inlineStr">
        <is>
          <t>Đã có một phần: provider/skills đọc DB; approve/block lưu RAM. serviceRows() gán tên dịch vụ từ danh sách hard-code thay vì ServiceCatalog. Điều chỉnh 25%→35% vì phần đọc dữ liệu thật có, thao tác quản lý còn mô phỏng.</t>
        </is>
      </c>
      <c r="H17" s="18" t="inlineStr">
        <is>
          <t>WorkspaceController#adminPage/#approveProvider/#approveSkill/#approveService/#blockService/#serviceRows/#priceRequests; WorkspaceState; ProviderProfile; ServiceCatalog; workspace/admin/page.html</t>
        </is>
      </c>
      <c r="I17" s="18" t="inlineStr">
        <is>
          <t>Admin GET và một số POST smoke; chưa test persistence quản lý.</t>
        </is>
      </c>
    </row>
    <row r="18" ht="94" customHeight="1">
      <c r="A18" s="21" t="n">
        <v>14</v>
      </c>
      <c r="B18" s="21" t="inlineStr">
        <is>
          <t>Admin quản lý đơn hàng</t>
        </is>
      </c>
      <c r="C18" s="21" t="inlineStr">
        <is>
          <t>Đăng</t>
        </is>
      </c>
      <c r="D18" s="22" t="n">
        <v>0.4</v>
      </c>
      <c r="E18" s="20">
        <f>IF(D18&lt;40%,"Chưa làm / mới có nền (&lt;40%)",IF(D18&lt;70%,"Còn thiếu (40-&lt;70%)",IF(D18&lt;90%,"Gần xong (70-&lt;90%)","Hoàn thiện (90-100%)")))</f>
        <v/>
      </c>
      <c r="F18" s="21" t="inlineStr">
        <is>
          <t>Một phần</t>
        </is>
      </c>
      <c r="G18" s="21" t="inlineStr">
        <is>
          <t>Đã triển khai: list/export order đọc DB; POST intervene chỉ nạp order và báo thành công, không đổi trạng thái/ghi quyết định. Điều chỉnh 25%→40% vì xem/xuất có thật, can thiệp chưa có.</t>
        </is>
      </c>
      <c r="H18" s="21" t="inlineStr">
        <is>
          <t>WorkspaceController#adminPage/#interveneOrder/#exportOrders; RentalOrderRepository; workspace/admin/page.html</t>
        </is>
      </c>
      <c r="I18" s="21" t="inlineStr">
        <is>
          <t>Admin GET smoke; chưa test can thiệp và state transition.</t>
        </is>
      </c>
    </row>
    <row r="19" ht="94" customHeight="1">
      <c r="A19" s="18" t="n">
        <v>15</v>
      </c>
      <c r="B19" s="18" t="inlineStr">
        <is>
          <t>Provider quản lý dịch vụ</t>
        </is>
      </c>
      <c r="C19" s="18" t="inlineStr">
        <is>
          <t>Tuấn Anh</t>
        </is>
      </c>
      <c r="D19" s="19" t="n">
        <v>0.5</v>
      </c>
      <c r="E19" s="20">
        <f>IF(D19&lt;40%,"Chưa làm / mới có nền (&lt;40%)",IF(D19&lt;70%,"Còn thiếu (40-&lt;70%)",IF(D19&lt;90%,"Gần xong (70-&lt;90%)","Hoàn thiện (90-100%)")))</f>
        <v/>
      </c>
      <c r="F19" s="18" t="inlineStr">
        <is>
          <t>Một phần</t>
        </is>
      </c>
      <c r="G19" s="18" t="inlineStr">
        <is>
          <t>Đã triển khai một phần: profile và skill ghi DB; package/addon chỉ flash success, catalog mẫu; availability/mode RAM hoặc chỉ thông báo. Giữ 50%: hồ sơ/kỹ năng có thật, quản lý service chưa bền vững.</t>
        </is>
      </c>
      <c r="H19" s="18" t="inlineStr">
        <is>
          <t>WorkspaceController#providerProfileSave/#addSkill/#removeSkill/#newPackage/#addon/#availabilitySave/#vacationSave; ProviderProfileRepository; WorkspaceState; workspace/provider/page.html</t>
        </is>
      </c>
      <c r="I19" s="18" t="inlineStr">
        <is>
          <t>Workspace POST smoke chỉ kiểm tra redirect, không xác nhận persistence service.</t>
        </is>
      </c>
    </row>
    <row r="20" ht="94" customHeight="1">
      <c r="A20" s="21" t="n">
        <v>16</v>
      </c>
      <c r="B20" s="21" t="inlineStr">
        <is>
          <t>Provider quản lý booking / đơn</t>
        </is>
      </c>
      <c r="C20" s="21" t="inlineStr">
        <is>
          <t>Đăng</t>
        </is>
      </c>
      <c r="D20" s="22" t="n">
        <v>0.85</v>
      </c>
      <c r="E20" s="20">
        <f>IF(D20&lt;40%,"Chưa làm / mới có nền (&lt;40%)",IF(D20&lt;70%,"Còn thiếu (40-&lt;70%)",IF(D20&lt;90%,"Gần xong (70-&lt;90%)","Hoàn thiện (90-100%)")))</f>
        <v/>
      </c>
      <c r="F20" s="21" t="inlineStr">
        <is>
          <t>Đầy đủ</t>
        </is>
      </c>
      <c r="G20" s="21" t="inlineStr">
        <is>
          <t>Đã triển khai: accept/decline/start/complete/cancel gọi EscrowService, kiểm tra owner/status và đồng bộ Booking/wallet. Có test decline và hoàn escrow; chưa test toàn bộ start/complete/OTP. Điều chỉnh 90%→85%.</t>
        </is>
      </c>
      <c r="H20" s="21" t="inlineStr">
        <is>
          <t>WorkspaceController#providerAcceptOrder/#providerDeclineOrder/#providerStartConfirmation/#providerComplete; EscrowService#providerAccept/#providerDecline/#confirmStart/#providerComplete; workspace/provider/page.html</t>
        </is>
      </c>
      <c r="I20" s="21" t="inlineStr">
        <is>
          <t>WorkspaceControllerSmokeTest#providerCanDeclinePendingBookingAndReleaseFullEscrow kiểm tra một nhánh.</t>
        </is>
      </c>
    </row>
    <row r="21" ht="94" customHeight="1">
      <c r="A21" s="18" t="n">
        <v>17</v>
      </c>
      <c r="B21" s="18" t="inlineStr">
        <is>
          <t>Provider xem doanh thu</t>
        </is>
      </c>
      <c r="C21" s="18" t="inlineStr">
        <is>
          <t>Nhật Anh</t>
        </is>
      </c>
      <c r="D21" s="19" t="n">
        <v>0.7</v>
      </c>
      <c r="E21" s="20">
        <f>IF(D21&lt;40%,"Chưa làm / mới có nền (&lt;40%)",IF(D21&lt;70%,"Còn thiếu (40-&lt;70%)",IF(D21&lt;90%,"Gần xong (70-&lt;90%)","Hoàn thiện (90-100%)")))</f>
        <v/>
      </c>
      <c r="F21" s="18" t="inlineStr">
        <is>
          <t>Một phần</t>
        </is>
      </c>
      <c r="G21" s="18" t="inlineStr">
        <is>
          <t>Đã triển khai: monthly settled income và wallet lifetime/escrow lấy DB, dùng CommissionPolicy; withdrawal có DB/OTP/admin approval nhưng duyệt demo không chuyển khoản; chưa có báo cáo kỳ tùy chọn. Điều chỉnh 55%→70%.</t>
        </is>
      </c>
      <c r="H21" s="18" t="inlineStr">
        <is>
          <t>WorkspaceController#fillProviderDashboard/#fillProviderWallet; CommissionPolicy; EscrowService withdrawal methods; ProviderWithdrawalRepository; workspace/provider/page.html</t>
        </is>
      </c>
      <c r="I21" s="18" t="inlineStr">
        <is>
          <t>Smoke wallet/withdraw; chưa test tính doanh thu hoặc lifecycle hoàn chỉnh.</t>
        </is>
      </c>
    </row>
  </sheetData>
  <autoFilter ref="A4:I21"/>
  <mergeCells count="2">
    <mergeCell ref="A1:I1"/>
    <mergeCell ref="A2:I2"/>
  </mergeCells>
  <conditionalFormatting sqref="D5:D21">
    <cfRule type="cellIs" priority="1" operator="lessThan" dxfId="0">
      <formula>40%</formula>
    </cfRule>
    <cfRule type="cellIs" priority="2" operator="greaterThanOrEqual" dxfId="1">
      <formula>90%</formula>
    </cfRule>
  </conditionalFormatting>
  <dataValidations count="1">
    <dataValidation sqref="D5:D21" showDropDown="0" showInputMessage="0" showErrorMessage="0" allowBlank="0" errorTitle="Ngoài phạm vi" error="Nhập tỷ lệ từ 0% đến 100%." prompt="Nhập từ 0% đến 100%.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5" customWidth="1" min="3" max="3"/>
    <col width="15" customWidth="1" min="4" max="4"/>
    <col width="32" customWidth="1" min="5" max="5"/>
    <col width="18" customWidth="1" min="6" max="6"/>
    <col width="75" customWidth="1" min="7" max="7"/>
    <col width="73" customWidth="1" min="8" max="8"/>
    <col width="54" customWidth="1" min="9" max="9"/>
  </cols>
  <sheetData>
    <row r="1" ht="32" customHeight="1">
      <c r="A1" s="16" t="inlineStr">
        <is>
          <t>11 CHỨC NĂNG TỰ CHỌN — ĐÁNH GIÁ THEO CODE</t>
        </is>
      </c>
    </row>
    <row r="2" ht="30" customHeight="1">
      <c r="A2" s="2" t="inlineStr">
        <is>
          <t>Ước lượng từ code, không phải phép đo chính thức. % chữ xanh có thể chỉnh; Nhóm tự tính. DB đánh giá luồng nghiệp vụ thực tế. Đọc nhận xét/bằng chứng trước khi diễn giải tỷ lệ.</t>
        </is>
      </c>
    </row>
    <row r="4" ht="34" customHeight="1">
      <c r="A4" s="17" t="inlineStr">
        <is>
          <t>STT</t>
        </is>
      </c>
      <c r="B4" s="17" t="inlineStr">
        <is>
          <t>Chức năng</t>
        </is>
      </c>
      <c r="C4" s="17" t="inlineStr">
        <is>
          <t>Phụ trách</t>
        </is>
      </c>
      <c r="D4" s="17" t="inlineStr">
        <is>
          <t>% hoàn thiện</t>
        </is>
      </c>
      <c r="E4" s="17" t="inlineStr">
        <is>
          <t>Nhóm</t>
        </is>
      </c>
      <c r="F4" s="17" t="inlineStr">
        <is>
          <t>Logic dữ liệu (DB)</t>
        </is>
      </c>
      <c r="G4" s="17" t="inlineStr">
        <is>
          <t>Nhận xét theo code</t>
        </is>
      </c>
      <c r="H4" s="17" t="inlineStr">
        <is>
          <t>Bằng chứng trong mã nguồn</t>
        </is>
      </c>
      <c r="I4" s="17" t="inlineStr">
        <is>
          <t>Trạng thái kiểm thử</t>
        </is>
      </c>
    </row>
    <row r="5" ht="94" customHeight="1">
      <c r="A5" s="18" t="n">
        <v>1</v>
      </c>
      <c r="B5" s="18" t="inlineStr">
        <is>
          <t>Cập nhật thông tin cá nhân</t>
        </is>
      </c>
      <c r="C5" s="18" t="inlineStr">
        <is>
          <t>Thương</t>
        </is>
      </c>
      <c r="D5" s="19" t="n">
        <v>0.9</v>
      </c>
      <c r="E5" s="20">
        <f>IF(D5&lt;40%,"Chưa làm / mới có nền (&lt;40%)",IF(D5&lt;70%,"Còn thiếu (40-&lt;70%)",IF(D5&lt;90%,"Gần xong (70-&lt;90%)","Hoàn thiện (90-100%)")))</f>
        <v/>
      </c>
      <c r="F5" s="18" t="inlineStr">
        <is>
          <t>Đầy đủ</t>
        </is>
      </c>
      <c r="G5" s="18" t="inlineStr">
        <is>
          <t>Đã triển khai: hồ sơ Customer ghi fullName/email/phone/avatar/bio vào users, kiểm tra email trùng, logout khi đổi email; provider profile tách riêng. Chưa test cập nhật. Điều chỉnh 80%→90%.</t>
        </is>
      </c>
      <c r="H5" s="18" t="inlineStr">
        <is>
          <t>ProfileController#profile/#update; UserRepository; ProviderProfile; customer/profile.html; WorkspaceController#providerProfileSave</t>
        </is>
      </c>
      <c r="I5" s="18" t="inlineStr">
        <is>
          <t>Chưa có test cập nhật hồ sơ.</t>
        </is>
      </c>
    </row>
    <row r="6" ht="94" customHeight="1">
      <c r="A6" s="21" t="n">
        <v>2</v>
      </c>
      <c r="B6" s="21" t="inlineStr">
        <is>
          <t>Đăng nhập Google</t>
        </is>
      </c>
      <c r="C6" s="21" t="inlineStr">
        <is>
          <t>Thương</t>
        </is>
      </c>
      <c r="D6" s="22" t="n">
        <v>0.05</v>
      </c>
      <c r="E6" s="20">
        <f>IF(D6&lt;40%,"Chưa làm / mới có nền (&lt;40%)",IF(D6&lt;70%,"Còn thiếu (40-&lt;70%)",IF(D6&lt;90%,"Gần xong (70-&lt;90%)","Hoàn thiện (90-100%)")))</f>
        <v/>
      </c>
      <c r="F6" s="21" t="inlineStr">
        <is>
          <t>Chưa có</t>
        </is>
      </c>
      <c r="G6" s="21" t="inlineStr">
        <is>
          <t>Chưa triển khai OAuth: SecurityConfig chỉ form login, không có oauth2Login/config/handler. OAuthIdentity là schema/entity; nút UI disabled. Giữ 5% nền dữ liệu/UI.</t>
        </is>
      </c>
      <c r="H6" s="21" t="inlineStr">
        <is>
          <t>pom.xml; SecurityConfig#filter; OAuthIdentity; DemoDataConfig; auth/login.html</t>
        </is>
      </c>
      <c r="I6" s="21" t="inlineStr">
        <is>
          <t>Không có test OAuth hoặc flow trong source.</t>
        </is>
      </c>
    </row>
    <row r="7" ht="94" customHeight="1">
      <c r="A7" s="18" t="n">
        <v>3</v>
      </c>
      <c r="B7" s="18" t="inlineStr">
        <is>
          <t>Lọc dịch vụ theo kỹ năng / giá</t>
        </is>
      </c>
      <c r="C7" s="18" t="inlineStr">
        <is>
          <t>Tuấn Anh</t>
        </is>
      </c>
      <c r="D7" s="19" t="n">
        <v>0.9</v>
      </c>
      <c r="E7" s="20">
        <f>IF(D7&lt;40%,"Chưa làm / mới có nền (&lt;40%)",IF(D7&lt;70%,"Còn thiếu (40-&lt;70%)",IF(D7&lt;90%,"Gần xong (70-&lt;90%)","Hoàn thiện (90-100%)")))</f>
        <v/>
      </c>
      <c r="F7" s="18" t="inlineStr">
        <is>
          <t>Đầy đủ</t>
        </is>
      </c>
      <c r="G7" s="18" t="inlineStr">
        <is>
          <t>Đã triển khai một phần lớn: /providers lọc ProviderProfile theo từ khóa, skill và khoảng hourlyRate; validate min&lt;=max. Scope lọc provider, không phải service catalog; chưa test boundary. Điều chỉnh 100%→90%.</t>
        </is>
      </c>
      <c r="H7" s="18" t="inlineStr">
        <is>
          <t>MarketplaceController#search; MarketplaceService#search; ProviderProfileRepository; marketplace/search.html</t>
        </is>
      </c>
      <c r="I7" s="18" t="inlineStr">
        <is>
          <t>Chưa có test filter/range invalid.</t>
        </is>
      </c>
    </row>
    <row r="8" ht="94" customHeight="1">
      <c r="A8" s="21" t="n">
        <v>4</v>
      </c>
      <c r="B8" s="21" t="inlineStr">
        <is>
          <t>Sắp xếp theo giá / đánh giá</t>
        </is>
      </c>
      <c r="C8" s="21" t="inlineStr">
        <is>
          <t>Tuấn Anh</t>
        </is>
      </c>
      <c r="D8" s="22" t="n">
        <v>0.9</v>
      </c>
      <c r="E8" s="20">
        <f>IF(D8&lt;40%,"Chưa làm / mới có nền (&lt;40%)",IF(D8&lt;70%,"Còn thiếu (40-&lt;70%)",IF(D8&lt;90%,"Gần xong (70-&lt;90%)","Hoàn thiện (90-100%)")))</f>
        <v/>
      </c>
      <c r="F8" s="21" t="inlineStr">
        <is>
          <t>Đầy đủ</t>
        </is>
      </c>
      <c r="G8" s="21" t="inlineStr">
        <is>
          <t>Đã triển khai: priceAsc/priceDesc hoặc rating mặc định trên provider từ DB. Chưa test thứ tự/null; không áp dụng toàn bộ service catalog. Điều chỉnh 100%→90%.</t>
        </is>
      </c>
      <c r="H8" s="21" t="inlineStr">
        <is>
          <t>MarketplaceController#search; MarketplaceService#search; marketplace/search.html</t>
        </is>
      </c>
      <c r="I8" s="21" t="inlineStr">
        <is>
          <t>Chưa có test sort ordering.</t>
        </is>
      </c>
    </row>
    <row r="9" ht="94" customHeight="1">
      <c r="A9" s="18" t="n">
        <v>5</v>
      </c>
      <c r="B9" s="18" t="inlineStr">
        <is>
          <t>Dịch vụ được đặt nhiều</t>
        </is>
      </c>
      <c r="C9" s="18" t="inlineStr">
        <is>
          <t>Nhật Anh</t>
        </is>
      </c>
      <c r="D9" s="19" t="n">
        <v>0.8</v>
      </c>
      <c r="E9" s="20">
        <f>IF(D9&lt;40%,"Chưa làm / mới có nền (&lt;40%)",IF(D9&lt;70%,"Còn thiếu (40-&lt;70%)",IF(D9&lt;90%,"Gần xong (70-&lt;90%)","Hoàn thiện (90-100%)")))</f>
        <v/>
      </c>
      <c r="F9" s="18" t="inlineStr">
        <is>
          <t>Đầy đủ</t>
        </is>
      </c>
      <c r="G9" s="18" t="inlineStr">
        <is>
          <t>Đã triển khai: query đếm order distinct theo RentalOrderItem, loại CANCELLED; HomeController xếp popularServices và template hiển thị. BookingService chưa tạo RentalOrderItem nên direct booking có thể không được tính. Điều chỉnh 0%→80% do query/hiển thị có, dữ liệu liên kết chưa chắc.</t>
        </is>
      </c>
      <c r="H9" s="18" t="inlineStr">
        <is>
          <t>RentalOrderItemRepository#countOrdersPerService; HomeController#home; RentalOrderItem; templates/home.html; schema-mysql.sql</t>
        </is>
      </c>
      <c r="I9" s="18" t="inlineStr">
        <is>
          <t>Chưa có test lượt đặt/top services.</t>
        </is>
      </c>
    </row>
    <row r="10" ht="94" customHeight="1">
      <c r="A10" s="21" t="n">
        <v>6</v>
      </c>
      <c r="B10" s="21" t="inlineStr">
        <is>
          <t>Dịch vụ / provider gợi ý</t>
        </is>
      </c>
      <c r="C10" s="21" t="inlineStr">
        <is>
          <t>Tuấn Anh</t>
        </is>
      </c>
      <c r="D10" s="22" t="n">
        <v>0.75</v>
      </c>
      <c r="E10" s="20">
        <f>IF(D10&lt;40%,"Chưa làm / mới có nền (&lt;40%)",IF(D10&lt;70%,"Còn thiếu (40-&lt;70%)",IF(D10&lt;90%,"Gần xong (70-&lt;90%)","Hoàn thiện (90-100%)")))</f>
        <v/>
      </c>
      <c r="F10" s="21" t="inlineStr">
        <is>
          <t>Một phần</t>
        </is>
      </c>
      <c r="G10" s="21" t="inlineStr">
        <is>
          <t>Đã triển khai heuristic: so preferredSkills của customer với skills provider, tie-break rating, hiển thị 4 provider. Không lọc approved/status/availability; ranking chưa test. Điều chỉnh 5%→75%.</t>
        </is>
      </c>
      <c r="H10" s="21" t="inlineStr">
        <is>
          <t>HomeController#home; CustomerProfile.preferredSkills; ProviderProfileRepository; templates/home.html</t>
        </is>
      </c>
      <c r="I10" s="21" t="inlineStr">
        <is>
          <t>Chưa có test ranking/gợi ý.</t>
        </is>
      </c>
    </row>
    <row r="11" ht="94" customHeight="1">
      <c r="A11" s="18" t="n">
        <v>7</v>
      </c>
      <c r="B11" s="18" t="inlineStr">
        <is>
          <t>Cập nhật trạng thái đơn hàng</t>
        </is>
      </c>
      <c r="C11" s="18" t="inlineStr">
        <is>
          <t>Đăng</t>
        </is>
      </c>
      <c r="D11" s="19" t="n">
        <v>0.85</v>
      </c>
      <c r="E11" s="20">
        <f>IF(D11&lt;40%,"Chưa làm / mới có nền (&lt;40%)",IF(D11&lt;70%,"Còn thiếu (40-&lt;70%)",IF(D11&lt;90%,"Gần xong (70-&lt;90%)","Hoàn thiện (90-100%)")))</f>
        <v/>
      </c>
      <c r="F11" s="18" t="inlineStr">
        <is>
          <t>Đầy đủ</t>
        </is>
      </c>
      <c r="G11" s="18" t="inlineStr">
        <is>
          <t>Đã triển khai: accept, xác nhận bắt đầu hai phía, processing, completion/OTP, cancellation và đồng bộ booking. RentalOrderStatusHistory entity/repository có nhưng không được luồng cập nhật gọi. Điều chỉnh 90%→85%.</t>
        </is>
      </c>
      <c r="H11" s="18" t="inlineStr">
        <is>
          <t>EscrowService#providerAccept/#confirmStart/#providerComplete/#verifyOtpAndSettle; OrderController; RentalOrderStatusHistory/Repository; orders/progress.html</t>
        </is>
      </c>
      <c r="I11" s="18" t="inlineStr">
        <is>
          <t>Smoke một số nhánh; chưa test state machine đầy đủ.</t>
        </is>
      </c>
    </row>
    <row r="12" ht="94" customHeight="1">
      <c r="A12" s="21" t="n">
        <v>8</v>
      </c>
      <c r="B12" s="21" t="inlineStr">
        <is>
          <t>Hủy đơn hàng</t>
        </is>
      </c>
      <c r="C12" s="21" t="inlineStr">
        <is>
          <t>Đăng</t>
        </is>
      </c>
      <c r="D12" s="22" t="n">
        <v>0.85</v>
      </c>
      <c r="E12" s="20">
        <f>IF(D12&lt;40%,"Chưa làm / mới có nền (&lt;40%)",IF(D12&lt;70%,"Còn thiếu (40-&lt;70%)",IF(D12&lt;90%,"Gần xong (70-&lt;90%)","Hoàn thiện (90-100%)")))</f>
        <v/>
      </c>
      <c r="F12" s="21" t="inlineStr">
        <is>
          <t>Đầy đủ</t>
        </is>
      </c>
      <c r="G12" s="21" t="inlineStr">
        <is>
          <t>Đã triển khai: Customer/Provider hủy; trước khi bắt đầu hoàn escrow, sau khi bắt đầu có compensation và lựa chọn của Customer; ownership/status được kiểm tra, ghi wallet transaction. Đây không phải Refund gateway. Điều chỉnh 10%→85%.</t>
        </is>
      </c>
      <c r="H12" s="21" t="inlineStr">
        <is>
          <t>OrderController#cancel/#resolveCompensation; WorkspaceController#providerCancel/#providerCompensation; EscrowService#cancelByCustomer/#cancelByProvider/#customerResolveCompensation/#cancelAndRelease; orders/progress.html</t>
        </is>
      </c>
      <c r="I12" s="21" t="inlineStr">
        <is>
          <t>Có test provider decline/refund escrow; chưa test customer cancellation/compensation.</t>
        </is>
      </c>
    </row>
    <row r="13" ht="94" customHeight="1">
      <c r="A13" s="18" t="n">
        <v>9</v>
      </c>
      <c r="B13" s="18" t="inlineStr">
        <is>
          <t>Đánh giá dịch vụ / provider</t>
        </is>
      </c>
      <c r="C13" s="18" t="inlineStr">
        <is>
          <t>Nhật Anh</t>
        </is>
      </c>
      <c r="D13" s="19" t="n">
        <v>0.85</v>
      </c>
      <c r="E13" s="20">
        <f>IF(D13&lt;40%,"Chưa làm / mới có nền (&lt;40%)",IF(D13&lt;70%,"Còn thiếu (40-&lt;70%)",IF(D13&lt;90%,"Gần xong (70-&lt;90%)","Hoàn thiện (90-100%)")))</f>
        <v/>
      </c>
      <c r="F13" s="18" t="inlineStr">
        <is>
          <t>Đầy đủ</t>
        </is>
      </c>
      <c r="G13" s="18" t="inlineStr">
        <is>
          <t>Đã triển khai: chỉ order COMPLETED được review, lưu DB, cập nhật rating/count; unique order; provider trả lời. Admin hide/restore dùng RAM; chưa thấy kiểm tra customer review chính là order customer ngoài ownership controller. Điều chỉnh 90%→85%.</t>
        </is>
      </c>
      <c r="H13" s="18" t="inlineStr">
        <is>
          <t>InteractionController#review/#save; ReviewService#save; OrderService#owned; ReviewRepository; Review; WorkspaceController#respondReview/#hideReview; schema-mysql.sql</t>
        </is>
      </c>
      <c r="I13" s="18" t="inlineStr">
        <is>
          <t>Có test provider reply; chưa test lưu review/aggregate/unauthorized.</t>
        </is>
      </c>
    </row>
    <row r="14" ht="94" customHeight="1">
      <c r="A14" s="21" t="n">
        <v>10</v>
      </c>
      <c r="B14" s="21" t="inlineStr">
        <is>
          <t>Báo cáo khách hàng / provider</t>
        </is>
      </c>
      <c r="C14" s="21" t="inlineStr">
        <is>
          <t>Nhật Anh</t>
        </is>
      </c>
      <c r="D14" s="22" t="n">
        <v>0.8</v>
      </c>
      <c r="E14" s="20">
        <f>IF(D14&lt;40%,"Chưa làm / mới có nền (&lt;40%)",IF(D14&lt;70%,"Còn thiếu (40-&lt;70%)",IF(D14&lt;90%,"Gần xong (70-&lt;90%)","Hoàn thiện (90-100%)")))</f>
        <v/>
      </c>
      <c r="F14" s="21" t="inlineStr">
        <is>
          <t>Đầy đủ</t>
        </is>
      </c>
      <c r="G14" s="21" t="inlineStr">
        <is>
          <t>Đã triển khai: complaint DB với reporter/target/order/type; chỉ bên trong đơn được gửi; Admin đọc Complaint DB và resolve/reject ghi DB. Provider evidence đổi status; nút refund chỉ resolve complaint. Điều chỉnh 60%→80% vì reportRows không hard-code như nhận xét đầu vào.</t>
        </is>
      </c>
      <c r="H14" s="21" t="inlineStr">
        <is>
          <t>ComplaintController#form/#submit; ReviewService#complain; WorkspaceController#reportRows/#resolveReport/#rejectReport/#complaintEvidence/#complaintRefund; ComplaintRepository; interaction/complaint.html</t>
        </is>
      </c>
      <c r="I14" s="21" t="inlineStr">
        <is>
          <t>Chưa có test submit/report permission/resolve.</t>
        </is>
      </c>
    </row>
    <row r="15" ht="94" customHeight="1">
      <c r="A15" s="18" t="n">
        <v>11</v>
      </c>
      <c r="B15" s="18" t="inlineStr">
        <is>
          <t>Hoàn tiền</t>
        </is>
      </c>
      <c r="C15" s="18" t="inlineStr">
        <is>
          <t>Đăng + Nhật Anh</t>
        </is>
      </c>
      <c r="D15" s="19" t="n">
        <v>0.25</v>
      </c>
      <c r="E15" s="20">
        <f>IF(D15&lt;40%,"Chưa làm / mới có nền (&lt;40%)",IF(D15&lt;70%,"Còn thiếu (40-&lt;70%)",IF(D15&lt;90%,"Gần xong (70-&lt;90%)","Hoàn thiện (90-100%)")))</f>
        <v/>
      </c>
      <c r="F15" s="18" t="inlineStr">
        <is>
          <t>Một phần</t>
        </is>
      </c>
      <c r="G15" s="18" t="inlineStr">
        <is>
          <t>Đang mô phỏng một phần: cancel/compensation trả/unhold escrow và ghi WalletTransaction; Provider complaintRefund chỉ đặt complaint RESOLVED. Refund entity/repository/bảng có nhưng không thấy production service/controller xử lý refunds hoặc giới hạn tổng hoàn. Điều chỉnh 10%→25% vì có escrow release, không có refund workflow.</t>
        </is>
      </c>
      <c r="H15" s="18" t="inlineStr">
        <is>
          <t>EscrowService#cancelAndRelease/#customerResolveCompensation; WorkspaceController#complaintRefund; Refund/RefundRepository; schema-mysql.sql refunds; workspace/provider/page.html</t>
        </is>
      </c>
      <c r="I15" s="18" t="inlineStr">
        <is>
          <t>Chưa có test refund/partial refund/gateway; cancellation test không chứng minh refund workflow.</t>
        </is>
      </c>
    </row>
  </sheetData>
  <autoFilter ref="A4:I15"/>
  <mergeCells count="2">
    <mergeCell ref="A1:I1"/>
    <mergeCell ref="A2:I2"/>
  </mergeCells>
  <conditionalFormatting sqref="D5:D15">
    <cfRule type="cellIs" priority="1" operator="lessThan" dxfId="0">
      <formula>40%</formula>
    </cfRule>
    <cfRule type="cellIs" priority="2" operator="greaterThanOrEqual" dxfId="1">
      <formula>90%</formula>
    </cfRule>
  </conditionalFormatting>
  <dataValidations count="1">
    <dataValidation sqref="D5:D15" showDropDown="0" showInputMessage="0" showErrorMessage="0" allowBlank="0" errorTitle="Ngoài phạm vi" error="Nhập tỷ lệ từ 0% đến 100%." prompt="Nhập từ 0% đến 100%.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2026-10-24T13:40:07Z</dcterms:created>
  <dcterms:modified xsi:type="dcterms:W3CDTF">2026-10-24T13:41:07Z</dcterms:modified>
</cp:coreProperties>
</file>